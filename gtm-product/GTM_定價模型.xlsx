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假設" sheetId="1" state="visible" r:id="rId1"/>
    <sheet name="方案彙總" sheetId="2" state="visible" r:id="rId2"/>
    <sheet name="敏感性" sheetId="3" state="visible" r:id="rId3"/>
    <sheet name="Decision Package" sheetId="4" state="visible" r:id="rId4"/>
    <sheet name="Activation Pack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NT$&quot;#,##0;(&quot;NT$&quot;#,##0);-"/>
    <numFmt numFmtId="165" formatCode="0.0%"/>
    <numFmt numFmtId="166" formatCode="#,##0.0"/>
    <numFmt numFmtId="167" formatCode="+0%;-0%;0%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</font>
    <font>
      <name val="Arial"/>
      <b val="1"/>
    </font>
    <font>
      <name val="Arial"/>
    </font>
    <font>
      <name val="Arial"/>
      <color rgb="000000FF"/>
    </font>
    <font>
      <name val="Arial"/>
      <color rgb="00008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0" pivotButton="0" quotePrefix="0" xfId="0"/>
    <xf numFmtId="164" fontId="5" fillId="3" borderId="0" pivotButton="0" quotePrefix="0" xfId="0"/>
    <xf numFmtId="165" fontId="5" fillId="3" borderId="0" pivotButton="0" quotePrefix="0" xfId="0"/>
    <xf numFmtId="3" fontId="5" fillId="3" borderId="0" pivotButton="0" quotePrefix="0" xfId="0"/>
    <xf numFmtId="166" fontId="6" fillId="0" borderId="0" pivotButton="0" quotePrefix="0" xfId="0"/>
    <xf numFmtId="164" fontId="4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167" fontId="5" fillId="2" borderId="0" pivotButton="0" quotePrefix="0" xfId="0"/>
    <xf numFmtId="164" fontId="5" fillId="0" borderId="0" pivotButton="0" quotePrefix="0" xfId="0"/>
    <xf numFmtId="3" fontId="5" fillId="0" borderId="0" pivotButton="0" quotePrefix="0" xfId="0"/>
    <xf numFmtId="164" fontId="6" fillId="0" borderId="0" pivotButton="0" quotePrefix="0" xfId="0"/>
    <xf numFmtId="3" fontId="3" fillId="0" borderId="0" pivotButton="0" quotePrefix="0" xfId="0"/>
    <xf numFmtId="166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80" customWidth="1" min="3" max="3"/>
  </cols>
  <sheetData>
    <row r="1">
      <c r="A1" s="1" t="inlineStr">
        <is>
          <t>Landfall 登岸 定價模型｜假設輸入</t>
        </is>
      </c>
    </row>
    <row r="2">
      <c r="A2" s="2" t="inlineStr">
        <is>
          <t>說明：藍字黃底為可修改的假設；其他工作表的公式都引用這裡。所有數值為待首案校正的假設，不是本所正式費率。</t>
        </is>
      </c>
    </row>
    <row r="4">
      <c r="A4" s="3" t="inlineStr">
        <is>
          <t>假設</t>
        </is>
      </c>
      <c r="B4" s="3" t="inlineStr">
        <is>
          <t>數值</t>
        </is>
      </c>
      <c r="C4" s="3" t="inlineStr">
        <is>
          <t>說明／來源</t>
        </is>
      </c>
    </row>
    <row r="5">
      <c r="A5" s="4" t="inlineStr">
        <is>
          <t>混合費率（NT$／小時）</t>
        </is>
      </c>
      <c r="B5" s="5" t="n">
        <v>3500</v>
      </c>
      <c r="C5" s="4" t="inlineStr">
        <is>
          <t>假設值，非本所正式費率；請以實際收費規定替換</t>
        </is>
      </c>
    </row>
    <row r="6">
      <c r="A6" s="4" t="inlineStr">
        <is>
          <t>首案共創折扣</t>
        </is>
      </c>
      <c r="B6" s="6" t="n">
        <v>0.5</v>
      </c>
      <c r="C6" s="4" t="inlineStr">
        <is>
          <t>首案以共創價招募，降低客戶下注成本（策略書：No-Go 付費問題的解法）</t>
        </is>
      </c>
    </row>
    <row r="7">
      <c r="A7" s="4" t="inlineStr">
        <is>
          <t>工時緩衝</t>
        </is>
      </c>
      <c r="B7" s="6" t="n">
        <v>0.15</v>
      </c>
      <c r="C7" s="4" t="inlineStr">
        <is>
          <t>GTM v0.98 第 15.2 章：6–8 週／90 天節奏的實際負荷未驗證，先加緩衝</t>
        </is>
      </c>
    </row>
    <row r="8">
      <c r="A8" s="4" t="inlineStr">
        <is>
          <t>Growth Partnership 每月工時</t>
        </is>
      </c>
      <c r="B8" s="7" t="n">
        <v>24</v>
      </c>
      <c r="C8" s="4" t="inlineStr">
        <is>
          <t>假設值：每月 Win/Loss、KPI 檢視與陪跑會議</t>
        </is>
      </c>
    </row>
    <row r="9">
      <c r="A9" s="4" t="inlineStr">
        <is>
          <t>Activation 里程碑費占比</t>
        </is>
      </c>
      <c r="B9" s="6" t="n">
        <v>0.3</v>
      </c>
      <c r="C9" s="4" t="inlineStr">
        <is>
          <t>GTM v0.98 第 13.3 章：固定費＋里程碑費；假設 30% 於里程碑達成時收取</t>
        </is>
      </c>
    </row>
    <row r="10">
      <c r="A10" s="4" t="inlineStr">
        <is>
          <t>年度首案目標家數</t>
        </is>
      </c>
      <c r="B10" s="7" t="n">
        <v>3</v>
      </c>
      <c r="C10" s="4" t="inlineStr">
        <is>
          <t>策略書 90 天計畫：簽下 2–3 家首案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18" customWidth="1" min="3" max="3"/>
    <col width="20" customWidth="1" min="4" max="4"/>
    <col width="44" customWidth="1" min="5" max="5"/>
  </cols>
  <sheetData>
    <row r="1">
      <c r="A1" s="1" t="inlineStr">
        <is>
          <t>方案彙總與建議售價</t>
        </is>
      </c>
    </row>
    <row r="3">
      <c r="A3" s="3" t="inlineStr">
        <is>
          <t>方案</t>
        </is>
      </c>
      <c r="B3" s="3" t="inlineStr">
        <is>
          <t>含緩衝工時（小時）</t>
        </is>
      </c>
      <c r="C3" s="3" t="inlineStr">
        <is>
          <t>牌價（NT$）</t>
        </is>
      </c>
      <c r="D3" s="3" t="inlineStr">
        <is>
          <t>首案共創價（NT$）</t>
        </is>
      </c>
      <c r="E3" s="3" t="inlineStr">
        <is>
          <t>收費方式</t>
        </is>
      </c>
    </row>
    <row r="4">
      <c r="A4" s="4" t="inlineStr">
        <is>
          <t>GTM Decision Package</t>
        </is>
      </c>
      <c r="B4" s="8">
        <f>'Decision Package'!D31</f>
        <v/>
      </c>
      <c r="C4" s="9">
        <f>B4*假設!$B$5</f>
        <v/>
      </c>
      <c r="D4" s="9">
        <f>C4*(1-假設!$B$6)</f>
        <v/>
      </c>
      <c r="E4" s="4" t="inlineStr">
        <is>
          <t>固定費</t>
        </is>
      </c>
    </row>
    <row r="5">
      <c r="A5" s="4" t="inlineStr">
        <is>
          <t>GTM Activation Package</t>
        </is>
      </c>
      <c r="B5" s="8">
        <f>'Activation Package'!D21</f>
        <v/>
      </c>
      <c r="C5" s="9">
        <f>B5*假設!$B$5</f>
        <v/>
      </c>
      <c r="D5" s="9">
        <f>C5</f>
        <v/>
      </c>
      <c r="E5" s="4" t="inlineStr">
        <is>
          <t>固定費＋里程碑費</t>
        </is>
      </c>
    </row>
    <row r="6">
      <c r="A6" s="4" t="inlineStr">
        <is>
          <t>GTM Growth Partnership（每月）</t>
        </is>
      </c>
      <c r="B6" s="8">
        <f>假設!$B$8</f>
        <v/>
      </c>
      <c r="C6" s="9">
        <f>B6*假設!$B$5</f>
        <v/>
      </c>
      <c r="D6" s="9">
        <f>C6</f>
        <v/>
      </c>
      <c r="E6" s="4" t="inlineStr">
        <is>
          <t>固定費＋成效分潤（第 14 章條件成立才啟用）</t>
        </is>
      </c>
    </row>
    <row r="8">
      <c r="A8" s="10" t="inlineStr">
        <is>
          <t>Activation 里程碑費拆分</t>
        </is>
      </c>
    </row>
    <row r="9">
      <c r="A9" t="inlineStr">
        <is>
          <t>簽約固定費</t>
        </is>
      </c>
      <c r="C9" s="9">
        <f>C5*(1-假設!$B$9)</f>
        <v/>
      </c>
    </row>
    <row r="10">
      <c r="A10" t="inlineStr">
        <is>
          <t>里程碑費</t>
        </is>
      </c>
      <c r="C10" s="9">
        <f>C5*假設!$B$9</f>
        <v/>
      </c>
    </row>
    <row r="12">
      <c r="A12" s="10" t="inlineStr">
        <is>
          <t>首年營收試算（首案家數 × Decision Package 共創價）</t>
        </is>
      </c>
      <c r="C12" s="9">
        <f>D4*假設!$B$10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Decision Package 牌價敏感性（NT$）</t>
        </is>
      </c>
    </row>
    <row r="2">
      <c r="A2" s="2" t="inlineStr">
        <is>
          <t>列：混合費率；欄：實際工時相對預估的增減。用於判斷首案實際工時偏離時，價格要調整多少。</t>
        </is>
      </c>
    </row>
    <row r="4">
      <c r="A4" s="11" t="inlineStr">
        <is>
          <t>費率＼工時變動</t>
        </is>
      </c>
      <c r="B4" s="12" t="n">
        <v>-0.3</v>
      </c>
      <c r="C4" s="12" t="n">
        <v>-0.15</v>
      </c>
      <c r="D4" s="12" t="n">
        <v>0</v>
      </c>
      <c r="E4" s="12" t="n">
        <v>0.15</v>
      </c>
      <c r="F4" s="12" t="n">
        <v>0.3</v>
      </c>
    </row>
    <row r="5">
      <c r="A5" s="13" t="n">
        <v>2500</v>
      </c>
      <c r="B5" s="9">
        <f>方案彙總!$B$4*(1+B$4)*$A5</f>
        <v/>
      </c>
      <c r="C5" s="9">
        <f>方案彙總!$B$4*(1+C$4)*$A5</f>
        <v/>
      </c>
      <c r="D5" s="9">
        <f>方案彙總!$B$4*(1+D$4)*$A5</f>
        <v/>
      </c>
      <c r="E5" s="9">
        <f>方案彙總!$B$4*(1+E$4)*$A5</f>
        <v/>
      </c>
      <c r="F5" s="9">
        <f>方案彙總!$B$4*(1+F$4)*$A5</f>
        <v/>
      </c>
    </row>
    <row r="6">
      <c r="A6" s="13" t="n">
        <v>3000</v>
      </c>
      <c r="B6" s="9">
        <f>方案彙總!$B$4*(1+B$4)*$A6</f>
        <v/>
      </c>
      <c r="C6" s="9">
        <f>方案彙總!$B$4*(1+C$4)*$A6</f>
        <v/>
      </c>
      <c r="D6" s="9">
        <f>方案彙總!$B$4*(1+D$4)*$A6</f>
        <v/>
      </c>
      <c r="E6" s="9">
        <f>方案彙總!$B$4*(1+E$4)*$A6</f>
        <v/>
      </c>
      <c r="F6" s="9">
        <f>方案彙總!$B$4*(1+F$4)*$A6</f>
        <v/>
      </c>
    </row>
    <row r="7">
      <c r="A7" s="13" t="n">
        <v>3500</v>
      </c>
      <c r="B7" s="9">
        <f>方案彙總!$B$4*(1+B$4)*$A7</f>
        <v/>
      </c>
      <c r="C7" s="9">
        <f>方案彙總!$B$4*(1+C$4)*$A7</f>
        <v/>
      </c>
      <c r="D7" s="9">
        <f>方案彙總!$B$4*(1+D$4)*$A7</f>
        <v/>
      </c>
      <c r="E7" s="9">
        <f>方案彙總!$B$4*(1+E$4)*$A7</f>
        <v/>
      </c>
      <c r="F7" s="9">
        <f>方案彙總!$B$4*(1+F$4)*$A7</f>
        <v/>
      </c>
    </row>
    <row r="8">
      <c r="A8" s="13" t="n">
        <v>4000</v>
      </c>
      <c r="B8" s="9">
        <f>方案彙總!$B$4*(1+B$4)*$A8</f>
        <v/>
      </c>
      <c r="C8" s="9">
        <f>方案彙總!$B$4*(1+C$4)*$A8</f>
        <v/>
      </c>
      <c r="D8" s="9">
        <f>方案彙總!$B$4*(1+D$4)*$A8</f>
        <v/>
      </c>
      <c r="E8" s="9">
        <f>方案彙總!$B$4*(1+E$4)*$A8</f>
        <v/>
      </c>
      <c r="F8" s="9">
        <f>方案彙總!$B$4*(1+F$4)*$A8</f>
        <v/>
      </c>
    </row>
    <row r="9">
      <c r="A9" s="13" t="n">
        <v>4500</v>
      </c>
      <c r="B9" s="9">
        <f>方案彙總!$B$4*(1+B$4)*$A9</f>
        <v/>
      </c>
      <c r="C9" s="9">
        <f>方案彙總!$B$4*(1+C$4)*$A9</f>
        <v/>
      </c>
      <c r="D9" s="9">
        <f>方案彙總!$B$4*(1+D$4)*$A9</f>
        <v/>
      </c>
      <c r="E9" s="9">
        <f>方案彙總!$B$4*(1+E$4)*$A9</f>
        <v/>
      </c>
      <c r="F9" s="9">
        <f>方案彙總!$B$4*(1+F$4)*$A9</f>
        <v/>
      </c>
    </row>
    <row r="11">
      <c r="A11" s="2" t="inlineStr">
        <is>
          <t>首案共創價也同比例變動（× (1 − 首案共創折扣)）。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18" customWidth="1" min="4" max="4"/>
    <col width="16" customWidth="1" min="5" max="5"/>
    <col width="50" customWidth="1" min="6" max="6"/>
  </cols>
  <sheetData>
    <row r="1">
      <c r="A1" s="1" t="inlineStr">
        <is>
          <t>GTM Decision Package｜段 0～3＋決策關卡</t>
        </is>
      </c>
    </row>
    <row r="2">
      <c r="A2" s="2" t="inlineStr">
        <is>
          <t>藍字為預估工時（假設），首案時請用案件工作台記錄的實際工時取代。</t>
        </is>
      </c>
    </row>
    <row r="4">
      <c r="A4" s="3" t="inlineStr">
        <is>
          <t>段</t>
        </is>
      </c>
      <c r="B4" s="3" t="inlineStr">
        <is>
          <t>工具／工作</t>
        </is>
      </c>
      <c r="C4" s="3" t="inlineStr">
        <is>
          <t>預估工時（小時）</t>
        </is>
      </c>
      <c r="D4" s="3" t="inlineStr">
        <is>
          <t>含緩衝工時（小時）</t>
        </is>
      </c>
      <c r="E4" s="3" t="inlineStr">
        <is>
          <t>成本（NT$）</t>
        </is>
      </c>
      <c r="F4" s="3" t="inlineStr">
        <is>
          <t>備註</t>
        </is>
      </c>
    </row>
    <row r="5">
      <c r="A5" s="4" t="inlineStr">
        <is>
          <t>段 0 目標確定</t>
        </is>
      </c>
      <c r="B5" s="4" t="inlineStr">
        <is>
          <t>專案設定：決策問題、假設登錄、證據計畫、Decision Rights、停損條件</t>
        </is>
      </c>
      <c r="C5" s="14" t="n">
        <v>24</v>
      </c>
      <c r="D5" s="8">
        <f>C5*(1+假設!$B$7)</f>
        <v/>
      </c>
      <c r="E5" s="15">
        <f>D5*假設!$B$5</f>
        <v/>
      </c>
      <c r="F5" s="4" t="inlineStr">
        <is>
          <t>非工具，前置設定（第 4 章）</t>
        </is>
      </c>
    </row>
    <row r="6">
      <c r="A6" s="4" t="inlineStr">
        <is>
          <t>段 1</t>
        </is>
      </c>
      <c r="B6" s="4" t="inlineStr">
        <is>
          <t>企業資產盤點</t>
        </is>
      </c>
      <c r="C6" s="14" t="n">
        <v>16</v>
      </c>
      <c r="D6" s="8">
        <f>C6*(1+假設!$B$7)</f>
        <v/>
      </c>
      <c r="E6" s="15">
        <f>D6*假設!$B$5</f>
        <v/>
      </c>
      <c r="F6" s="4" t="inlineStr"/>
    </row>
    <row r="7">
      <c r="A7" s="4" t="inlineStr">
        <is>
          <t>段 1</t>
        </is>
      </c>
      <c r="B7" s="4" t="inlineStr">
        <is>
          <t>BCG 矩陣</t>
        </is>
      </c>
      <c r="C7" s="14" t="n">
        <v>6</v>
      </c>
      <c r="D7" s="8">
        <f>C7*(1+假設!$B$7)</f>
        <v/>
      </c>
      <c r="E7" s="15">
        <f>D7*假設!$B$5</f>
        <v/>
      </c>
      <c r="F7" s="4" t="inlineStr">
        <is>
          <t>只作戰略對齊</t>
        </is>
      </c>
    </row>
    <row r="8">
      <c r="A8" s="4" t="inlineStr">
        <is>
          <t>段 1</t>
        </is>
      </c>
      <c r="B8" s="4" t="inlineStr">
        <is>
          <t>七項篩選標準（案件閘門）</t>
        </is>
      </c>
      <c r="C8" s="14" t="n">
        <v>8</v>
      </c>
      <c r="D8" s="8">
        <f>C8*(1+假設!$B$7)</f>
        <v/>
      </c>
      <c r="E8" s="15">
        <f>D8*假設!$B$5</f>
        <v/>
      </c>
      <c r="F8" s="4" t="inlineStr">
        <is>
          <t>含 G-7 ISTI 資源承諾驗證</t>
        </is>
      </c>
    </row>
    <row r="9">
      <c r="A9" s="4" t="inlineStr">
        <is>
          <t>段 1</t>
        </is>
      </c>
      <c r="B9" s="4" t="inlineStr">
        <is>
          <t>技術—情境探索迴圈（Baseline／發散／校準）</t>
        </is>
      </c>
      <c r="C9" s="14" t="n">
        <v>32</v>
      </c>
      <c r="D9" s="8">
        <f>C9*(1+假設!$B$7)</f>
        <v/>
      </c>
      <c r="E9" s="15">
        <f>D9*假設!$B$5</f>
        <v/>
      </c>
      <c r="F9" s="4" t="inlineStr">
        <is>
          <t>v0.98 新增，非計數工具；含 V1→V2</t>
        </is>
      </c>
    </row>
    <row r="10">
      <c r="A10" s="4" t="inlineStr">
        <is>
          <t>段 2 市場</t>
        </is>
      </c>
      <c r="B10" s="4" t="inlineStr">
        <is>
          <t>PESTLE</t>
        </is>
      </c>
      <c r="C10" s="14" t="n">
        <v>10</v>
      </c>
      <c r="D10" s="8">
        <f>C10*(1+假設!$B$7)</f>
        <v/>
      </c>
      <c r="E10" s="15">
        <f>D10*假設!$B$5</f>
        <v/>
      </c>
      <c r="F10" s="4" t="inlineStr"/>
    </row>
    <row r="11">
      <c r="A11" s="4" t="inlineStr">
        <is>
          <t>段 2 市場</t>
        </is>
      </c>
      <c r="B11" s="4" t="inlineStr">
        <is>
          <t>CAGE</t>
        </is>
      </c>
      <c r="C11" s="14" t="n">
        <v>8</v>
      </c>
      <c r="D11" s="8">
        <f>C11*(1+假設!$B$7)</f>
        <v/>
      </c>
      <c r="E11" s="15">
        <f>D11*假設!$B$5</f>
        <v/>
      </c>
      <c r="F11" s="4" t="inlineStr"/>
    </row>
    <row r="12">
      <c r="A12" s="4" t="inlineStr">
        <is>
          <t>段 2 市場</t>
        </is>
      </c>
      <c r="B12" s="4" t="inlineStr">
        <is>
          <t>市場合規性</t>
        </is>
      </c>
      <c r="C12" s="14" t="n">
        <v>16</v>
      </c>
      <c r="D12" s="8">
        <f>C12*(1+假設!$B$7)</f>
        <v/>
      </c>
      <c r="E12" s="15">
        <f>D12*假設!$B$5</f>
        <v/>
      </c>
      <c r="F12" s="4" t="inlineStr"/>
    </row>
    <row r="13">
      <c r="A13" s="4" t="inlineStr">
        <is>
          <t>段 2 買方</t>
        </is>
      </c>
      <c r="B13" s="4" t="inlineStr">
        <is>
          <t>ICP</t>
        </is>
      </c>
      <c r="C13" s="14" t="n">
        <v>10</v>
      </c>
      <c r="D13" s="8">
        <f>C13*(1+假設!$B$7)</f>
        <v/>
      </c>
      <c r="E13" s="15">
        <f>D13*假設!$B$5</f>
        <v/>
      </c>
      <c r="F13" s="4" t="inlineStr"/>
    </row>
    <row r="14">
      <c r="A14" s="4" t="inlineStr">
        <is>
          <t>段 2 買方</t>
        </is>
      </c>
      <c r="B14" s="4" t="inlineStr">
        <is>
          <t>Persona</t>
        </is>
      </c>
      <c r="C14" s="14" t="n">
        <v>10</v>
      </c>
      <c r="D14" s="8">
        <f>C14*(1+假設!$B$7)</f>
        <v/>
      </c>
      <c r="E14" s="15">
        <f>D14*假設!$B$5</f>
        <v/>
      </c>
      <c r="F14" s="4" t="inlineStr"/>
    </row>
    <row r="15">
      <c r="A15" s="4" t="inlineStr">
        <is>
          <t>段 2 買方</t>
        </is>
      </c>
      <c r="B15" s="4" t="inlineStr">
        <is>
          <t>初步客戶探索訪談</t>
        </is>
      </c>
      <c r="C15" s="14" t="n">
        <v>24</v>
      </c>
      <c r="D15" s="8">
        <f>C15*(1+假設!$B$7)</f>
        <v/>
      </c>
      <c r="E15" s="15">
        <f>D15*假設!$B$5</f>
        <v/>
      </c>
      <c r="F15" s="4" t="inlineStr">
        <is>
          <t>5–10 次有效外部對話（第 15.3 章）</t>
        </is>
      </c>
    </row>
    <row r="16">
      <c r="A16" s="4" t="inlineStr">
        <is>
          <t>段 2 買方</t>
        </is>
      </c>
      <c r="B16" s="4" t="inlineStr">
        <is>
          <t>客戶洞察訪談（深度）</t>
        </is>
      </c>
      <c r="C16" s="14" t="n">
        <v>40</v>
      </c>
      <c r="D16" s="8">
        <f>C16*(1+假設!$B$7)</f>
        <v/>
      </c>
      <c r="E16" s="15">
        <f>D16*假設!$B$5</f>
        <v/>
      </c>
      <c r="F16" s="4" t="inlineStr"/>
    </row>
    <row r="17">
      <c r="A17" s="4" t="inlineStr">
        <is>
          <t>段 2 買方</t>
        </is>
      </c>
      <c r="B17" s="4" t="inlineStr">
        <is>
          <t>客戶旅程地圖</t>
        </is>
      </c>
      <c r="C17" s="14" t="n">
        <v>12</v>
      </c>
      <c r="D17" s="8">
        <f>C17*(1+假設!$B$7)</f>
        <v/>
      </c>
      <c r="E17" s="15">
        <f>D17*假設!$B$5</f>
        <v/>
      </c>
      <c r="F17" s="4" t="inlineStr"/>
    </row>
    <row r="18">
      <c r="A18" s="4" t="inlineStr">
        <is>
          <t>段 2 競爭</t>
        </is>
      </c>
      <c r="B18" s="4" t="inlineStr">
        <is>
          <t>五力分析</t>
        </is>
      </c>
      <c r="C18" s="14" t="n">
        <v>10</v>
      </c>
      <c r="D18" s="8">
        <f>C18*(1+假設!$B$7)</f>
        <v/>
      </c>
      <c r="E18" s="15">
        <f>D18*假設!$B$5</f>
        <v/>
      </c>
      <c r="F18" s="4" t="inlineStr"/>
    </row>
    <row r="19">
      <c r="A19" s="4" t="inlineStr">
        <is>
          <t>段 2 競爭</t>
        </is>
      </c>
      <c r="B19" s="4" t="inlineStr">
        <is>
          <t>勝負情境推演</t>
        </is>
      </c>
      <c r="C19" s="14" t="n">
        <v>10</v>
      </c>
      <c r="D19" s="8">
        <f>C19*(1+假設!$B$7)</f>
        <v/>
      </c>
      <c r="E19" s="15">
        <f>D19*假設!$B$5</f>
        <v/>
      </c>
      <c r="F19" s="4" t="inlineStr"/>
    </row>
    <row r="20">
      <c r="A20" s="4" t="inlineStr">
        <is>
          <t>段 2 競爭</t>
        </is>
      </c>
      <c r="B20" s="4" t="inlineStr">
        <is>
          <t>基本專利比對（護城河）</t>
        </is>
      </c>
      <c r="C20" s="14" t="n">
        <v>16</v>
      </c>
      <c r="D20" s="8">
        <f>C20*(1+假設!$B$7)</f>
        <v/>
      </c>
      <c r="E20" s="15">
        <f>D20*假設!$B$5</f>
        <v/>
      </c>
      <c r="F20" s="4" t="inlineStr"/>
    </row>
    <row r="21">
      <c r="A21" s="4" t="inlineStr">
        <is>
          <t>段 2 競爭</t>
        </is>
      </c>
      <c r="B21" s="4" t="inlineStr">
        <is>
          <t>① 競爭者六面向輪廓</t>
        </is>
      </c>
      <c r="C21" s="14" t="n">
        <v>16</v>
      </c>
      <c r="D21" s="8">
        <f>C21*(1+假設!$B$7)</f>
        <v/>
      </c>
      <c r="E21" s="15">
        <f>D21*假設!$B$5</f>
        <v/>
      </c>
      <c r="F21" s="4" t="inlineStr"/>
    </row>
    <row r="22">
      <c r="A22" s="4" t="inlineStr">
        <is>
          <t>段 2 競爭</t>
        </is>
      </c>
      <c r="B22" s="4" t="inlineStr">
        <is>
          <t>② 功能比較矩陣</t>
        </is>
      </c>
      <c r="C22" s="14" t="n">
        <v>12</v>
      </c>
      <c r="D22" s="8">
        <f>C22*(1+假設!$B$7)</f>
        <v/>
      </c>
      <c r="E22" s="15">
        <f>D22*假設!$B$5</f>
        <v/>
      </c>
      <c r="F22" s="4" t="inlineStr"/>
    </row>
    <row r="23">
      <c r="A23" s="4" t="inlineStr">
        <is>
          <t>段 2 競爭</t>
        </is>
      </c>
      <c r="B23" s="4" t="inlineStr">
        <is>
          <t>③ 競爭性 SWOT</t>
        </is>
      </c>
      <c r="C23" s="14" t="n">
        <v>8</v>
      </c>
      <c r="D23" s="8">
        <f>C23*(1+假設!$B$7)</f>
        <v/>
      </c>
      <c r="E23" s="15">
        <f>D23*假設!$B$5</f>
        <v/>
      </c>
      <c r="F23" s="4" t="inlineStr"/>
    </row>
    <row r="24">
      <c r="A24" s="4" t="inlineStr">
        <is>
          <t>段 2 競爭</t>
        </is>
      </c>
      <c r="B24" s="4" t="inlineStr">
        <is>
          <t>④ 加權競爭矩陣</t>
        </is>
      </c>
      <c r="C24" s="14" t="n">
        <v>8</v>
      </c>
      <c r="D24" s="8">
        <f>C24*(1+假設!$B$7)</f>
        <v/>
      </c>
      <c r="E24" s="15">
        <f>D24*假設!$B$5</f>
        <v/>
      </c>
      <c r="F24" s="4" t="inlineStr"/>
    </row>
    <row r="25">
      <c r="A25" s="4" t="inlineStr">
        <is>
          <t>段 2 競爭</t>
        </is>
      </c>
      <c r="B25" s="4" t="inlineStr">
        <is>
          <t>⑤ 定位矩陣</t>
        </is>
      </c>
      <c r="C25" s="14" t="n">
        <v>6</v>
      </c>
      <c r="D25" s="8">
        <f>C25*(1+假設!$B$7)</f>
        <v/>
      </c>
      <c r="E25" s="15">
        <f>D25*假設!$B$5</f>
        <v/>
      </c>
      <c r="F25" s="4" t="inlineStr"/>
    </row>
    <row r="26">
      <c r="A26" s="4" t="inlineStr">
        <is>
          <t>段 2 缺口</t>
        </is>
      </c>
      <c r="B26" s="4" t="inlineStr">
        <is>
          <t>Whole Product 缺口</t>
        </is>
      </c>
      <c r="C26" s="14" t="n">
        <v>10</v>
      </c>
      <c r="D26" s="8">
        <f>C26*(1+假設!$B$7)</f>
        <v/>
      </c>
      <c r="E26" s="15">
        <f>D26*假設!$B$5</f>
        <v/>
      </c>
      <c r="F26" s="4" t="inlineStr"/>
    </row>
    <row r="27">
      <c r="A27" s="4" t="inlineStr">
        <is>
          <t>段 3</t>
        </is>
      </c>
      <c r="B27" s="4" t="inlineStr">
        <is>
          <t>市場吸引力加權評分矩陣</t>
        </is>
      </c>
      <c r="C27" s="14" t="n">
        <v>12</v>
      </c>
      <c r="D27" s="8">
        <f>C27*(1+假設!$B$7)</f>
        <v/>
      </c>
      <c r="E27" s="15">
        <f>D27*假設!$B$5</f>
        <v/>
      </c>
      <c r="F27" s="4" t="inlineStr">
        <is>
          <t>含權重敏感性檢驗</t>
        </is>
      </c>
    </row>
    <row r="28">
      <c r="A28" s="4" t="inlineStr">
        <is>
          <t>段 3</t>
        </is>
      </c>
      <c r="B28" s="4" t="inlineStr">
        <is>
          <t>Beachhead 三維</t>
        </is>
      </c>
      <c r="C28" s="14" t="n">
        <v>10</v>
      </c>
      <c r="D28" s="8">
        <f>C28*(1+假設!$B$7)</f>
        <v/>
      </c>
      <c r="E28" s="15">
        <f>D28*假設!$B$5</f>
        <v/>
      </c>
      <c r="F28" s="4" t="inlineStr"/>
    </row>
    <row r="29">
      <c r="A29" s="4" t="inlineStr">
        <is>
          <t>決策關卡</t>
        </is>
      </c>
      <c r="B29" s="4" t="inlineStr">
        <is>
          <t>決策關卡會議與 Go／Pivot／Hold／No-Go 備忘錄</t>
        </is>
      </c>
      <c r="C29" s="14" t="n">
        <v>12</v>
      </c>
      <c r="D29" s="8">
        <f>C29*(1+假設!$B$7)</f>
        <v/>
      </c>
      <c r="E29" s="15">
        <f>D29*假設!$B$5</f>
        <v/>
      </c>
      <c r="F29" s="4" t="inlineStr">
        <is>
          <t>No-Go 也交付決策備忘錄</t>
        </is>
      </c>
    </row>
    <row r="30">
      <c r="A30" s="4" t="inlineStr">
        <is>
          <t>治理</t>
        </is>
      </c>
      <c r="B30" s="4" t="inlineStr">
        <is>
          <t>Hypothesis／Evidence／Decision Log 每週更新</t>
        </is>
      </c>
      <c r="C30" s="14" t="n">
        <v>20</v>
      </c>
      <c r="D30" s="8">
        <f>C30*(1+假設!$B$7)</f>
        <v/>
      </c>
      <c r="E30" s="15">
        <f>D30*假設!$B$5</f>
        <v/>
      </c>
      <c r="F30" s="4" t="inlineStr">
        <is>
          <t>第 10 章，非計數工具</t>
        </is>
      </c>
    </row>
    <row r="31">
      <c r="B31" s="10" t="inlineStr">
        <is>
          <t>合計</t>
        </is>
      </c>
      <c r="C31" s="16">
        <f>SUM(C5:C30)</f>
        <v/>
      </c>
      <c r="D31" s="17">
        <f>SUM(D5:D30)</f>
        <v/>
      </c>
      <c r="E31" s="18">
        <f>SUM(E5:E30)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18" customWidth="1" min="4" max="4"/>
    <col width="16" customWidth="1" min="5" max="5"/>
    <col width="50" customWidth="1" min="6" max="6"/>
  </cols>
  <sheetData>
    <row r="1">
      <c r="A1" s="1" t="inlineStr">
        <is>
          <t>GTM Activation Package｜段 4～6＋初期段 7</t>
        </is>
      </c>
    </row>
    <row r="2">
      <c r="A2" s="2" t="inlineStr">
        <is>
          <t>藍字為預估工時（假設），首案時請用案件工作台記錄的實際工時取代。</t>
        </is>
      </c>
    </row>
    <row r="4">
      <c r="A4" s="3" t="inlineStr">
        <is>
          <t>段</t>
        </is>
      </c>
      <c r="B4" s="3" t="inlineStr">
        <is>
          <t>工具／工作</t>
        </is>
      </c>
      <c r="C4" s="3" t="inlineStr">
        <is>
          <t>預估工時（小時）</t>
        </is>
      </c>
      <c r="D4" s="3" t="inlineStr">
        <is>
          <t>含緩衝工時（小時）</t>
        </is>
      </c>
      <c r="E4" s="3" t="inlineStr">
        <is>
          <t>成本（NT$）</t>
        </is>
      </c>
      <c r="F4" s="3" t="inlineStr">
        <is>
          <t>備註</t>
        </is>
      </c>
    </row>
    <row r="5">
      <c r="A5" s="4" t="inlineStr">
        <is>
          <t>段 4</t>
        </is>
      </c>
      <c r="B5" s="4" t="inlineStr">
        <is>
          <t>價值鏈分析</t>
        </is>
      </c>
      <c r="C5" s="14" t="n">
        <v>12</v>
      </c>
      <c r="D5" s="8">
        <f>C5*(1+假設!$B$7)</f>
        <v/>
      </c>
      <c r="E5" s="15">
        <f>D5*假設!$B$5</f>
        <v/>
      </c>
      <c r="F5" s="4" t="inlineStr"/>
    </row>
    <row r="6">
      <c r="A6" s="4" t="inlineStr">
        <is>
          <t>段 4</t>
        </is>
      </c>
      <c r="B6" s="4" t="inlineStr">
        <is>
          <t>VPC 價值主張圖</t>
        </is>
      </c>
      <c r="C6" s="14" t="n">
        <v>12</v>
      </c>
      <c r="D6" s="8">
        <f>C6*(1+假設!$B$7)</f>
        <v/>
      </c>
      <c r="E6" s="15">
        <f>D6*假設!$B$5</f>
        <v/>
      </c>
      <c r="F6" s="4" t="inlineStr"/>
    </row>
    <row r="7">
      <c r="A7" s="4" t="inlineStr">
        <is>
          <t>段 4</t>
        </is>
      </c>
      <c r="B7" s="4" t="inlineStr">
        <is>
          <t>Positioning（5＋1）</t>
        </is>
      </c>
      <c r="C7" s="14" t="n">
        <v>10</v>
      </c>
      <c r="D7" s="8">
        <f>C7*(1+假設!$B$7)</f>
        <v/>
      </c>
      <c r="E7" s="15">
        <f>D7*假設!$B$5</f>
        <v/>
      </c>
      <c r="F7" s="4" t="inlineStr"/>
    </row>
    <row r="8">
      <c r="A8" s="4" t="inlineStr">
        <is>
          <t>段 4</t>
        </is>
      </c>
      <c r="B8" s="4" t="inlineStr">
        <is>
          <t>Message House</t>
        </is>
      </c>
      <c r="C8" s="14" t="n">
        <v>10</v>
      </c>
      <c r="D8" s="8">
        <f>C8*(1+假設!$B$7)</f>
        <v/>
      </c>
      <c r="E8" s="15">
        <f>D8*假設!$B$5</f>
        <v/>
      </c>
      <c r="F8" s="4" t="inlineStr"/>
    </row>
    <row r="9">
      <c r="A9" s="4" t="inlineStr">
        <is>
          <t>段 5</t>
        </is>
      </c>
      <c r="B9" s="4" t="inlineStr">
        <is>
          <t>市場進入模式</t>
        </is>
      </c>
      <c r="C9" s="14" t="n">
        <v>12</v>
      </c>
      <c r="D9" s="8">
        <f>C9*(1+假設!$B$7)</f>
        <v/>
      </c>
      <c r="E9" s="15">
        <f>D9*假設!$B$5</f>
        <v/>
      </c>
      <c r="F9" s="4" t="inlineStr"/>
    </row>
    <row r="10">
      <c r="A10" s="4" t="inlineStr">
        <is>
          <t>段 5</t>
        </is>
      </c>
      <c r="B10" s="4" t="inlineStr">
        <is>
          <t>通路夥伴評估矩陣</t>
        </is>
      </c>
      <c r="C10" s="14" t="n">
        <v>16</v>
      </c>
      <c r="D10" s="8">
        <f>C10*(1+假設!$B$7)</f>
        <v/>
      </c>
      <c r="E10" s="15">
        <f>D10*假設!$B$5</f>
        <v/>
      </c>
      <c r="F10" s="4" t="inlineStr"/>
    </row>
    <row r="11">
      <c r="A11" s="4" t="inlineStr">
        <is>
          <t>段 5</t>
        </is>
      </c>
      <c r="B11" s="4" t="inlineStr">
        <is>
          <t>鏈結窗口</t>
        </is>
      </c>
      <c r="C11" s="14" t="n">
        <v>16</v>
      </c>
      <c r="D11" s="8">
        <f>C11*(1+假設!$B$7)</f>
        <v/>
      </c>
      <c r="E11" s="15">
        <f>D11*假設!$B$5</f>
        <v/>
      </c>
      <c r="F11" s="4" t="inlineStr"/>
    </row>
    <row r="12">
      <c r="A12" s="4" t="inlineStr">
        <is>
          <t>段 5</t>
        </is>
      </c>
      <c r="B12" s="4" t="inlineStr">
        <is>
          <t>服務藍圖</t>
        </is>
      </c>
      <c r="C12" s="14" t="n">
        <v>12</v>
      </c>
      <c r="D12" s="8">
        <f>C12*(1+假設!$B$7)</f>
        <v/>
      </c>
      <c r="E12" s="15">
        <f>D12*假設!$B$5</f>
        <v/>
      </c>
      <c r="F12" s="4" t="inlineStr"/>
    </row>
    <row r="13">
      <c r="A13" s="4" t="inlineStr">
        <is>
          <t>段 6</t>
        </is>
      </c>
      <c r="B13" s="4" t="inlineStr">
        <is>
          <t>定價模式</t>
        </is>
      </c>
      <c r="C13" s="14" t="n">
        <v>16</v>
      </c>
      <c r="D13" s="8">
        <f>C13*(1+假設!$B$7)</f>
        <v/>
      </c>
      <c r="E13" s="15">
        <f>D13*假設!$B$5</f>
        <v/>
      </c>
      <c r="F13" s="4" t="inlineStr"/>
    </row>
    <row r="14">
      <c r="A14" s="4" t="inlineStr">
        <is>
          <t>段 6</t>
        </is>
      </c>
      <c r="B14" s="4" t="inlineStr">
        <is>
          <t>GTM Motion</t>
        </is>
      </c>
      <c r="C14" s="14" t="n">
        <v>10</v>
      </c>
      <c r="D14" s="8">
        <f>C14*(1+假設!$B$7)</f>
        <v/>
      </c>
      <c r="E14" s="15">
        <f>D14*假設!$B$5</f>
        <v/>
      </c>
      <c r="F14" s="4" t="inlineStr"/>
    </row>
    <row r="15">
      <c r="A15" s="4" t="inlineStr">
        <is>
          <t>段 6</t>
        </is>
      </c>
      <c r="B15" s="4" t="inlineStr">
        <is>
          <t>MEDDIC（完整）</t>
        </is>
      </c>
      <c r="C15" s="14" t="n">
        <v>20</v>
      </c>
      <c r="D15" s="8">
        <f>C15*(1+假設!$B$7)</f>
        <v/>
      </c>
      <c r="E15" s="15">
        <f>D15*假設!$B$5</f>
        <v/>
      </c>
      <c r="F15" s="4" t="inlineStr"/>
    </row>
    <row r="16">
      <c r="A16" s="4" t="inlineStr">
        <is>
          <t>段 6</t>
        </is>
      </c>
      <c r="B16" s="4" t="inlineStr">
        <is>
          <t>行銷戰術組合</t>
        </is>
      </c>
      <c r="C16" s="14" t="n">
        <v>12</v>
      </c>
      <c r="D16" s="8">
        <f>C16*(1+假設!$B$7)</f>
        <v/>
      </c>
      <c r="E16" s="15">
        <f>D16*假設!$B$5</f>
        <v/>
      </c>
      <c r="F16" s="4" t="inlineStr"/>
    </row>
    <row r="17">
      <c r="A17" s="4" t="inlineStr">
        <is>
          <t>段 6</t>
        </is>
      </c>
      <c r="B17" s="4" t="inlineStr">
        <is>
          <t>90 天 Sprint</t>
        </is>
      </c>
      <c r="C17" s="14" t="n">
        <v>12</v>
      </c>
      <c r="D17" s="8">
        <f>C17*(1+假設!$B$7)</f>
        <v/>
      </c>
      <c r="E17" s="15">
        <f>D17*假設!$B$5</f>
        <v/>
      </c>
      <c r="F17" s="4" t="inlineStr"/>
    </row>
    <row r="18">
      <c r="A18" s="4" t="inlineStr">
        <is>
          <t>段 7 初期</t>
        </is>
      </c>
      <c r="B18" s="4" t="inlineStr">
        <is>
          <t>GTM KPI 三層</t>
        </is>
      </c>
      <c r="C18" s="14" t="n">
        <v>10</v>
      </c>
      <c r="D18" s="8">
        <f>C18*(1+假設!$B$7)</f>
        <v/>
      </c>
      <c r="E18" s="15">
        <f>D18*假設!$B$5</f>
        <v/>
      </c>
      <c r="F18" s="4" t="inlineStr"/>
    </row>
    <row r="19">
      <c r="A19" s="4" t="inlineStr">
        <is>
          <t>段 7 初期</t>
        </is>
      </c>
      <c r="B19" s="4" t="inlineStr">
        <is>
          <t>Sprint 前 30 天陪跑</t>
        </is>
      </c>
      <c r="C19" s="14" t="n">
        <v>40</v>
      </c>
      <c r="D19" s="8">
        <f>C19*(1+假設!$B$7)</f>
        <v/>
      </c>
      <c r="E19" s="15">
        <f>D19*假設!$B$5</f>
        <v/>
      </c>
      <c r="F19" s="4" t="inlineStr"/>
    </row>
    <row r="20">
      <c r="A20" s="4" t="inlineStr">
        <is>
          <t>治理</t>
        </is>
      </c>
      <c r="B20" s="4" t="inlineStr">
        <is>
          <t>Decision Log 與週報</t>
        </is>
      </c>
      <c r="C20" s="14" t="n">
        <v>16</v>
      </c>
      <c r="D20" s="8">
        <f>C20*(1+假設!$B$7)</f>
        <v/>
      </c>
      <c r="E20" s="15">
        <f>D20*假設!$B$5</f>
        <v/>
      </c>
      <c r="F20" s="4" t="inlineStr"/>
    </row>
    <row r="21">
      <c r="B21" s="10" t="inlineStr">
        <is>
          <t>合計</t>
        </is>
      </c>
      <c r="C21" s="16">
        <f>SUM(C5:C20)</f>
        <v/>
      </c>
      <c r="D21" s="17">
        <f>SUM(D5:D20)</f>
        <v/>
      </c>
      <c r="E21" s="18">
        <f>SUM(E5:E20)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2026-10-03T16:24:44Z</dcterms:created>
  <dcterms:modified xsi:type="dcterms:W3CDTF">2026-10-04T01:48:32Z</dcterms:modified>
</cp:coreProperties>
</file>